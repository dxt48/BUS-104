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" sheetId="2" r:id="rId6"/>
    <sheet state="hidden" name="__OpenSolverCache__" sheetId="3" r:id="rId7"/>
    <sheet state="hidden" name="__OpenSolver__" sheetId="4" r:id="rId8"/>
  </sheets>
  <definedNames/>
  <calcPr/>
</workbook>
</file>

<file path=xl/sharedStrings.xml><?xml version="1.0" encoding="utf-8"?>
<sst xmlns="http://schemas.openxmlformats.org/spreadsheetml/2006/main" count="26" uniqueCount="11">
  <si>
    <t>x1</t>
  </si>
  <si>
    <t>x2</t>
  </si>
  <si>
    <t>x3</t>
  </si>
  <si>
    <t>x4</t>
  </si>
  <si>
    <t>x5</t>
  </si>
  <si>
    <t>Cal</t>
  </si>
  <si>
    <t>&lt;=</t>
  </si>
  <si>
    <t>Protein</t>
  </si>
  <si>
    <t>&gt;=</t>
  </si>
  <si>
    <t>Vit C</t>
  </si>
  <si>
    <t>Calcium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</si>
</sst>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1"/>
      <c r="H4" s="1"/>
      <c r="I4" s="1"/>
    </row>
    <row r="5">
      <c r="A5" s="1"/>
      <c r="B5" s="3">
        <v>0.69</v>
      </c>
      <c r="C5" s="3">
        <v>1.99</v>
      </c>
      <c r="D5" s="3">
        <v>1.99</v>
      </c>
      <c r="E5" s="3">
        <v>2.05</v>
      </c>
      <c r="F5" s="3">
        <v>0.79</v>
      </c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4">
        <v>0.0</v>
      </c>
      <c r="C7" s="5">
        <v>0.0</v>
      </c>
      <c r="D7" s="5">
        <v>0.0</v>
      </c>
      <c r="E7" s="4">
        <v>0.8709216170544676</v>
      </c>
      <c r="F7" s="4">
        <v>1.3161315481606655</v>
      </c>
      <c r="G7" s="3">
        <f>sumproduct(B7:F7,B5:F5)</f>
        <v>2.825133238</v>
      </c>
      <c r="H7" s="1"/>
      <c r="I7" s="1"/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3" t="s">
        <v>5</v>
      </c>
      <c r="B9" s="3">
        <v>260.0</v>
      </c>
      <c r="C9" s="3">
        <v>560.0</v>
      </c>
      <c r="D9" s="3">
        <v>250.0</v>
      </c>
      <c r="E9" s="3">
        <v>35.0</v>
      </c>
      <c r="F9" s="3">
        <v>260.0</v>
      </c>
      <c r="G9" s="3">
        <f t="shared" ref="G9:G12" si="1">sumproduct(B9:F9,$B$7:$F$7)</f>
        <v>372.6764591</v>
      </c>
      <c r="H9" s="3" t="s">
        <v>6</v>
      </c>
      <c r="I9" s="6">
        <v>2000.0</v>
      </c>
    </row>
    <row r="10">
      <c r="A10" s="3" t="s">
        <v>7</v>
      </c>
      <c r="B10" s="3">
        <v>13.0</v>
      </c>
      <c r="C10" s="3">
        <v>25.0</v>
      </c>
      <c r="D10" s="3">
        <v>15.0</v>
      </c>
      <c r="E10" s="3">
        <v>2.0</v>
      </c>
      <c r="F10" s="3">
        <v>3.0</v>
      </c>
      <c r="G10" s="3">
        <f t="shared" si="1"/>
        <v>5.690237879</v>
      </c>
      <c r="H10" s="3" t="s">
        <v>8</v>
      </c>
      <c r="I10" s="3">
        <v>50.0</v>
      </c>
    </row>
    <row r="11">
      <c r="A11" s="3" t="s">
        <v>9</v>
      </c>
      <c r="B11" s="3">
        <v>2.0</v>
      </c>
      <c r="C11" s="3">
        <v>2.0</v>
      </c>
      <c r="D11" s="3">
        <v>2.0</v>
      </c>
      <c r="E11" s="3">
        <v>40.0</v>
      </c>
      <c r="F11" s="3">
        <v>40.0</v>
      </c>
      <c r="G11" s="3">
        <f t="shared" si="1"/>
        <v>87.48212661</v>
      </c>
      <c r="H11" s="3" t="s">
        <v>8</v>
      </c>
      <c r="I11" s="3">
        <v>100.0</v>
      </c>
    </row>
    <row r="12">
      <c r="A12" s="3" t="s">
        <v>10</v>
      </c>
      <c r="B12" s="3">
        <v>15.0</v>
      </c>
      <c r="C12" s="3">
        <v>25.0</v>
      </c>
      <c r="D12" s="3">
        <v>2.0</v>
      </c>
      <c r="E12" s="3">
        <v>4.0</v>
      </c>
      <c r="F12" s="3">
        <v>2.0</v>
      </c>
      <c r="G12" s="3">
        <f t="shared" si="1"/>
        <v>6.115949565</v>
      </c>
      <c r="H12" s="3" t="s">
        <v>8</v>
      </c>
      <c r="I12" s="3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1"/>
      <c r="H4" s="1"/>
      <c r="I4" s="1"/>
    </row>
    <row r="5">
      <c r="A5" s="1"/>
      <c r="B5" s="3">
        <v>0.69</v>
      </c>
      <c r="C5" s="3">
        <v>1.99</v>
      </c>
      <c r="D5" s="3">
        <v>1.99</v>
      </c>
      <c r="E5" s="3">
        <v>2.05</v>
      </c>
      <c r="F5" s="3">
        <v>0.79</v>
      </c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4">
        <v>0.0</v>
      </c>
      <c r="C7" s="5">
        <v>0.0</v>
      </c>
      <c r="D7" s="5">
        <v>0.0</v>
      </c>
      <c r="E7" s="4">
        <v>0.0</v>
      </c>
      <c r="F7" s="4">
        <v>0.0</v>
      </c>
      <c r="G7" s="3"/>
      <c r="H7" s="1"/>
      <c r="I7" s="1"/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3" t="s">
        <v>5</v>
      </c>
      <c r="B9" s="3">
        <v>260.0</v>
      </c>
      <c r="C9" s="3">
        <v>560.0</v>
      </c>
      <c r="D9" s="3">
        <v>250.0</v>
      </c>
      <c r="E9" s="3">
        <v>35.0</v>
      </c>
      <c r="F9" s="3">
        <v>260.0</v>
      </c>
      <c r="G9" s="3"/>
      <c r="H9" s="3" t="s">
        <v>6</v>
      </c>
      <c r="I9" s="6">
        <v>2000.0</v>
      </c>
    </row>
    <row r="10">
      <c r="A10" s="3" t="s">
        <v>7</v>
      </c>
      <c r="B10" s="3">
        <v>13.0</v>
      </c>
      <c r="C10" s="3">
        <v>25.0</v>
      </c>
      <c r="D10" s="3">
        <v>15.0</v>
      </c>
      <c r="E10" s="3">
        <v>2.0</v>
      </c>
      <c r="F10" s="3">
        <v>3.0</v>
      </c>
      <c r="G10" s="3"/>
      <c r="H10" s="3" t="s">
        <v>8</v>
      </c>
      <c r="I10" s="3">
        <v>50.0</v>
      </c>
    </row>
    <row r="11">
      <c r="A11" s="3" t="s">
        <v>9</v>
      </c>
      <c r="B11" s="3">
        <v>2.0</v>
      </c>
      <c r="C11" s="3">
        <v>2.0</v>
      </c>
      <c r="D11" s="3">
        <v>2.0</v>
      </c>
      <c r="E11" s="3">
        <v>40.0</v>
      </c>
      <c r="F11" s="3">
        <v>40.0</v>
      </c>
      <c r="G11" s="3"/>
      <c r="H11" s="3" t="s">
        <v>8</v>
      </c>
      <c r="I11" s="3">
        <v>100.0</v>
      </c>
    </row>
    <row r="12">
      <c r="A12" s="3" t="s">
        <v>10</v>
      </c>
      <c r="B12" s="3">
        <v>15.0</v>
      </c>
      <c r="C12" s="3">
        <v>25.0</v>
      </c>
      <c r="D12" s="3">
        <v>2.0</v>
      </c>
      <c r="E12" s="3">
        <v>4.0</v>
      </c>
      <c r="F12" s="3">
        <v>2.0</v>
      </c>
      <c r="G12" s="3"/>
      <c r="H12" s="3" t="s">
        <v>8</v>
      </c>
      <c r="I12" s="3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ModelSheet=Sheet1!A:Z</f>
        <v>#NAME?</v>
      </c>
    </row>
    <row r="2">
      <c r="A2" s="7" t="str">
        <f>OpenSolver_AdjNum=1</f>
        <v>#NAME?</v>
      </c>
    </row>
    <row r="3">
      <c r="A3" s="7" t="str">
        <f>OpenSolver_ChosenSolver=Google</f>
        <v>#NAME?</v>
      </c>
    </row>
    <row r="4">
      <c r="A4" s="7" t="str">
        <f>OpenSolver_FastBuild=0</f>
        <v>#NAME?</v>
      </c>
    </row>
    <row r="5">
      <c r="A5" s="7" t="str">
        <f>OpenSolver_LinearityCheck=0</f>
        <v>#NAME?</v>
      </c>
    </row>
    <row r="6">
      <c r="A6" s="7" t="str">
        <f>solver_adj=Sheet1!B7:F7</f>
        <v>#NAME?</v>
      </c>
    </row>
    <row r="7">
      <c r="A7" s="7" t="str">
        <f>solver_lhs1=Sheet1!G9</f>
        <v>#NAME?</v>
      </c>
    </row>
    <row r="8">
      <c r="A8" s="7" t="str">
        <f>solver_lhs2=Sheet1!G10:G12</f>
        <v>#NAME?</v>
      </c>
    </row>
    <row r="9">
      <c r="A9" s="7" t="str">
        <f>solver_neg=1</f>
        <v>#NAME?</v>
      </c>
    </row>
    <row r="10">
      <c r="A10" s="7" t="str">
        <f>solver_num=2</f>
        <v>#NAME?</v>
      </c>
    </row>
    <row r="11">
      <c r="A11" s="7" t="str">
        <f>solver_opt=Sheet1!G7</f>
        <v>#NAME?</v>
      </c>
    </row>
    <row r="12">
      <c r="A12" s="7" t="str">
        <f>solver_rel1=1</f>
        <v>#NAME?</v>
      </c>
    </row>
    <row r="13">
      <c r="A13" s="7" t="str">
        <f>solver_rel2=3</f>
        <v>#NAME?</v>
      </c>
    </row>
    <row r="14">
      <c r="A14" s="7" t="str">
        <f>solver_rhs1=Sheet1!I9</f>
        <v>#NAME?</v>
      </c>
    </row>
    <row r="15">
      <c r="A15" s="7" t="str">
        <f>solver_rhs2=Sheet1!I10:I12</f>
        <v>#NAME?</v>
      </c>
    </row>
    <row r="16">
      <c r="A16" s="7" t="str">
        <f>solver_sho=1</f>
        <v>#NAME?</v>
      </c>
    </row>
    <row r="17">
      <c r="A17" s="7" t="str">
        <f>solver_typ=2</f>
        <v>#NAME?</v>
      </c>
    </row>
    <row r="18">
      <c r="A18" s="7" t="str">
        <f>solver_val=0</f>
        <v>#NAME?</v>
      </c>
    </row>
  </sheetData>
  <drawing r:id="rId1"/>
</worksheet>
</file>