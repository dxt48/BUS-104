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et problem" sheetId="1" r:id="rId5"/>
    <sheet state="visible" name="knapsack problem" sheetId="2" r:id="rId6"/>
    <sheet state="hidden" name="__OpenSolverCache__" sheetId="3" r:id="rId7"/>
    <sheet state="hidden" name="__OpenSolver__" sheetId="4" r:id="rId8"/>
  </sheets>
  <definedNames/>
  <calcPr/>
</workbook>
</file>

<file path=xl/sharedStrings.xml><?xml version="1.0" encoding="utf-8"?>
<sst xmlns="http://schemas.openxmlformats.org/spreadsheetml/2006/main" count="22" uniqueCount="20">
  <si>
    <t xml:space="preserve">Item </t>
  </si>
  <si>
    <t>Hamburger</t>
  </si>
  <si>
    <t>Value</t>
  </si>
  <si>
    <t>Big Mac</t>
  </si>
  <si>
    <t>Nuggets</t>
  </si>
  <si>
    <t>Weight</t>
  </si>
  <si>
    <t>Salad</t>
  </si>
  <si>
    <t>Pack it?</t>
  </si>
  <si>
    <t>Apple Pie</t>
  </si>
  <si>
    <t>Tent</t>
  </si>
  <si>
    <t>Stove</t>
  </si>
  <si>
    <t>Water Filter</t>
  </si>
  <si>
    <t>Sleeping Bag</t>
  </si>
  <si>
    <t>Totals</t>
  </si>
  <si>
    <t>Cal</t>
  </si>
  <si>
    <t>&lt;=</t>
  </si>
  <si>
    <t>Protein</t>
  </si>
  <si>
    <t>&gt;=</t>
  </si>
  <si>
    <t>Vit C</t>
  </si>
  <si>
    <t>Calcium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</si>
</sst>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Font="1"/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/>
      <c r="B4" s="4" t="s">
        <v>1</v>
      </c>
      <c r="C4" s="4" t="s">
        <v>3</v>
      </c>
      <c r="D4" s="4" t="s">
        <v>4</v>
      </c>
      <c r="E4" s="4" t="s">
        <v>6</v>
      </c>
      <c r="F4" s="4" t="s">
        <v>8</v>
      </c>
      <c r="G4" s="1"/>
      <c r="H4" s="1"/>
      <c r="I4" s="1"/>
    </row>
    <row r="5">
      <c r="A5" s="1"/>
      <c r="B5" s="5">
        <v>0.69</v>
      </c>
      <c r="C5" s="5">
        <v>1.99</v>
      </c>
      <c r="D5" s="5">
        <v>1.99</v>
      </c>
      <c r="E5" s="5">
        <v>2.05</v>
      </c>
      <c r="F5" s="5">
        <v>0.79</v>
      </c>
      <c r="G5" s="1"/>
      <c r="H5" s="1"/>
      <c r="I5" s="1"/>
    </row>
    <row r="6">
      <c r="A6" s="1"/>
      <c r="B6" s="1"/>
      <c r="C6" s="1"/>
      <c r="D6" s="1"/>
      <c r="E6" s="1"/>
      <c r="F6" s="1"/>
      <c r="G6" s="1"/>
      <c r="H6" s="1"/>
      <c r="I6" s="1"/>
    </row>
    <row r="7">
      <c r="A7" s="1"/>
      <c r="B7" s="7">
        <v>1.0</v>
      </c>
      <c r="C7" s="8">
        <v>0.0</v>
      </c>
      <c r="D7" s="7">
        <v>0.0</v>
      </c>
      <c r="E7" s="7">
        <v>47.0</v>
      </c>
      <c r="F7" s="7">
        <v>0.0</v>
      </c>
      <c r="G7" s="5">
        <f>sumproduct(B5:F5,$B$7:$F$7)</f>
        <v>97.04</v>
      </c>
      <c r="H7" s="1"/>
      <c r="I7" s="1"/>
    </row>
    <row r="8">
      <c r="A8" s="1"/>
      <c r="B8" s="1"/>
      <c r="C8" s="1"/>
      <c r="D8" s="1"/>
      <c r="E8" s="1"/>
      <c r="F8" s="1"/>
      <c r="G8" s="1"/>
      <c r="H8" s="1"/>
      <c r="I8" s="1"/>
    </row>
    <row r="9">
      <c r="A9" s="5" t="s">
        <v>14</v>
      </c>
      <c r="B9" s="5">
        <v>260.0</v>
      </c>
      <c r="C9" s="5">
        <v>560.0</v>
      </c>
      <c r="D9" s="5">
        <v>250.0</v>
      </c>
      <c r="E9" s="5">
        <v>35.0</v>
      </c>
      <c r="F9" s="5">
        <v>260.0</v>
      </c>
      <c r="G9" s="5">
        <f t="shared" ref="G9:G12" si="1">sumproduct(B9:F9,$B$7:$F$7)</f>
        <v>1905</v>
      </c>
      <c r="H9" s="5" t="s">
        <v>15</v>
      </c>
      <c r="I9" s="4">
        <v>2000.0</v>
      </c>
    </row>
    <row r="10">
      <c r="A10" s="5" t="s">
        <v>16</v>
      </c>
      <c r="B10" s="5">
        <v>13.0</v>
      </c>
      <c r="C10" s="5">
        <v>25.0</v>
      </c>
      <c r="D10" s="5">
        <v>15.0</v>
      </c>
      <c r="E10" s="5">
        <v>2.0</v>
      </c>
      <c r="F10" s="5">
        <v>3.0</v>
      </c>
      <c r="G10" s="5">
        <f t="shared" si="1"/>
        <v>107</v>
      </c>
      <c r="H10" s="5" t="s">
        <v>17</v>
      </c>
      <c r="I10" s="5">
        <v>50.0</v>
      </c>
    </row>
    <row r="11">
      <c r="A11" s="5" t="s">
        <v>18</v>
      </c>
      <c r="B11" s="5">
        <v>2.0</v>
      </c>
      <c r="C11" s="5">
        <v>2.0</v>
      </c>
      <c r="D11" s="5">
        <v>2.0</v>
      </c>
      <c r="E11" s="5">
        <v>40.0</v>
      </c>
      <c r="F11" s="5">
        <v>40.0</v>
      </c>
      <c r="G11" s="5">
        <f t="shared" si="1"/>
        <v>1882</v>
      </c>
      <c r="H11" s="5" t="s">
        <v>17</v>
      </c>
      <c r="I11" s="5">
        <v>100.0</v>
      </c>
    </row>
    <row r="12">
      <c r="A12" s="5" t="s">
        <v>19</v>
      </c>
      <c r="B12" s="5">
        <v>15.0</v>
      </c>
      <c r="C12" s="5">
        <v>25.0</v>
      </c>
      <c r="D12" s="5">
        <v>2.0</v>
      </c>
      <c r="E12" s="5">
        <v>4.0</v>
      </c>
      <c r="F12" s="5">
        <v>2.0</v>
      </c>
      <c r="G12" s="5">
        <f t="shared" si="1"/>
        <v>203</v>
      </c>
      <c r="H12" s="5" t="s">
        <v>17</v>
      </c>
      <c r="I12" s="4">
        <v>100.0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2</v>
      </c>
      <c r="C1" s="3" t="s">
        <v>5</v>
      </c>
      <c r="D1" s="3" t="s">
        <v>7</v>
      </c>
    </row>
    <row r="2">
      <c r="A2" s="3" t="s">
        <v>9</v>
      </c>
      <c r="B2" s="3">
        <v>10.0</v>
      </c>
      <c r="C2" s="3">
        <v>5.0</v>
      </c>
      <c r="D2" s="3">
        <v>0.0</v>
      </c>
    </row>
    <row r="3">
      <c r="A3" s="3" t="s">
        <v>10</v>
      </c>
      <c r="B3" s="3">
        <v>40.0</v>
      </c>
      <c r="C3" s="3">
        <v>4.0</v>
      </c>
      <c r="D3" s="3">
        <v>1.0</v>
      </c>
    </row>
    <row r="4">
      <c r="A4" s="3" t="s">
        <v>11</v>
      </c>
      <c r="B4" s="3">
        <v>30.0</v>
      </c>
      <c r="C4" s="3">
        <v>6.0</v>
      </c>
      <c r="D4" s="3">
        <v>1.0</v>
      </c>
    </row>
    <row r="5">
      <c r="A5" s="3" t="s">
        <v>12</v>
      </c>
      <c r="B5" s="3">
        <v>50.0</v>
      </c>
      <c r="C5" s="3">
        <v>7.0</v>
      </c>
      <c r="D5" s="3">
        <v>0.0</v>
      </c>
    </row>
    <row r="7">
      <c r="A7" s="3" t="s">
        <v>13</v>
      </c>
      <c r="B7" s="6">
        <f>sumproduct(B2:B5,D2:D5)</f>
        <v>70</v>
      </c>
      <c r="C7" s="6">
        <f>sumproduct(C2:C5,D2:D5)</f>
        <v>10</v>
      </c>
    </row>
    <row r="9">
      <c r="C9" s="3">
        <v>10.0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tr">
        <f>ModelSheet=Sheet1!A:Z</f>
        <v>#NAME?</v>
      </c>
      <c r="B1" s="6" t="str">
        <f>ModelSheet=diet data!A:Z</f>
        <v>#ERROR!</v>
      </c>
      <c r="C1" s="6" t="str">
        <f>ModelSheet=knapsack data!A:Z</f>
        <v>#ERROR!</v>
      </c>
    </row>
    <row r="2">
      <c r="A2" s="6" t="str">
        <f>OpenSolver_AdjNum=0</f>
        <v>#NAME?</v>
      </c>
      <c r="B2" s="6" t="str">
        <f t="shared" ref="B2:C2" si="1">OpenSolver_AdjNum=1</f>
        <v>#NAME?</v>
      </c>
      <c r="C2" s="6" t="str">
        <f t="shared" si="1"/>
        <v>#NAME?</v>
      </c>
    </row>
    <row r="3">
      <c r="A3" s="6" t="str">
        <f t="shared" ref="A3:C3" si="2">OpenSolver_ChosenSolver=Google</f>
        <v>#NAME?</v>
      </c>
      <c r="B3" s="6" t="str">
        <f t="shared" si="2"/>
        <v>#NAME?</v>
      </c>
      <c r="C3" s="6" t="str">
        <f t="shared" si="2"/>
        <v>#NAME?</v>
      </c>
    </row>
    <row r="4">
      <c r="A4" s="6" t="str">
        <f t="shared" ref="A4:C4" si="3">OpenSolver_FastBuild=0</f>
        <v>#NAME?</v>
      </c>
      <c r="B4" s="6" t="str">
        <f t="shared" si="3"/>
        <v>#NAME?</v>
      </c>
      <c r="C4" s="6" t="str">
        <f t="shared" si="3"/>
        <v>#NAME?</v>
      </c>
    </row>
    <row r="5">
      <c r="A5" s="6" t="str">
        <f t="shared" ref="A5:B5" si="4">OpenSolver_LinearityCheck=0</f>
        <v>#NAME?</v>
      </c>
      <c r="B5" s="6" t="str">
        <f t="shared" si="4"/>
        <v>#NAME?</v>
      </c>
      <c r="C5" s="6" t="str">
        <f>OpenSolver_LinearityCheck=1</f>
        <v>#NAME?</v>
      </c>
    </row>
    <row r="6">
      <c r="A6" s="6" t="str">
        <f>solver_neg=1</f>
        <v>#NAME?</v>
      </c>
      <c r="B6" s="6" t="str">
        <f>solver_adj=diet data!B7:F7</f>
        <v>#ERROR!</v>
      </c>
      <c r="C6" s="6" t="str">
        <f>solver_adj=knapsack data!D2:D5</f>
        <v>#ERROR!</v>
      </c>
    </row>
    <row r="7">
      <c r="A7" s="6" t="str">
        <f>solver_num=0</f>
        <v>#NAME?</v>
      </c>
      <c r="B7" s="6" t="str">
        <f>solver_lhs1=diet data!G9</f>
        <v>#ERROR!</v>
      </c>
      <c r="C7" s="6" t="str">
        <f>solver_lhs1=knapsack data!C7</f>
        <v>#ERROR!</v>
      </c>
    </row>
    <row r="8">
      <c r="A8" s="6" t="str">
        <f>solver_sho=1</f>
        <v>#NAME?</v>
      </c>
      <c r="B8" s="6" t="str">
        <f>solver_lhs2=diet data!G10:G12</f>
        <v>#ERROR!</v>
      </c>
      <c r="C8" s="6" t="str">
        <f>solver_lhs2=knapsack data!D2:D5</f>
        <v>#ERROR!</v>
      </c>
    </row>
    <row r="9">
      <c r="A9" s="6" t="str">
        <f>solver_typ=2</f>
        <v>#NAME?</v>
      </c>
      <c r="B9" s="6" t="str">
        <f>solver_lhs3=diet data!B7:F7</f>
        <v>#ERROR!</v>
      </c>
      <c r="C9" s="6" t="str">
        <f>solver_neg=1</f>
        <v>#NAME?</v>
      </c>
    </row>
    <row r="10">
      <c r="A10" s="6" t="str">
        <f>solver_val=0</f>
        <v>#NAME?</v>
      </c>
      <c r="B10" s="6" t="str">
        <f>solver_neg=1</f>
        <v>#NAME?</v>
      </c>
      <c r="C10" s="6" t="str">
        <f>solver_num=2</f>
        <v>#NAME?</v>
      </c>
    </row>
    <row r="11">
      <c r="B11" s="6" t="str">
        <f>solver_num=3</f>
        <v>#NAME?</v>
      </c>
      <c r="C11" s="6" t="str">
        <f>solver_opt=knapsack data!B7</f>
        <v>#ERROR!</v>
      </c>
    </row>
    <row r="12">
      <c r="B12" s="6" t="str">
        <f>solver_opt=diet data!G7</f>
        <v>#ERROR!</v>
      </c>
      <c r="C12" s="6" t="str">
        <f>solver_rel1=1</f>
        <v>#NAME?</v>
      </c>
    </row>
    <row r="13">
      <c r="B13" s="6" t="str">
        <f>solver_rel1=1</f>
        <v>#NAME?</v>
      </c>
      <c r="C13" s="6" t="str">
        <f>solver_rel2=5</f>
        <v>#NAME?</v>
      </c>
    </row>
    <row r="14">
      <c r="B14" s="6" t="str">
        <f>solver_rel2=3</f>
        <v>#NAME?</v>
      </c>
      <c r="C14" s="6" t="str">
        <f>solver_rhs1=knapsack data!C9</f>
        <v>#ERROR!</v>
      </c>
    </row>
    <row r="15">
      <c r="B15" s="6" t="str">
        <f>solver_rel3=4</f>
        <v>#NAME?</v>
      </c>
      <c r="C15" s="6" t="str">
        <f>solver_rhs2=binary</f>
        <v>#NAME?</v>
      </c>
    </row>
    <row r="16">
      <c r="B16" s="6" t="str">
        <f>solver_rhs1=diet data!I9</f>
        <v>#ERROR!</v>
      </c>
      <c r="C16" s="6" t="str">
        <f>solver_sho=1</f>
        <v>#NAME?</v>
      </c>
    </row>
    <row r="17">
      <c r="B17" s="6" t="str">
        <f>solver_rhs2=diet data!I10:I12</f>
        <v>#ERROR!</v>
      </c>
      <c r="C17" s="6" t="str">
        <f>solver_typ=1</f>
        <v>#NAME?</v>
      </c>
    </row>
    <row r="18">
      <c r="B18" s="6" t="str">
        <f>solver_rhs3=integer</f>
        <v>#NAME?</v>
      </c>
      <c r="C18" s="6" t="str">
        <f>solver_val=0</f>
        <v>#NAME?</v>
      </c>
    </row>
    <row r="19">
      <c r="B19" s="6" t="str">
        <f>solver_sho=1</f>
        <v>#NAME?</v>
      </c>
    </row>
    <row r="20">
      <c r="B20" s="6" t="str">
        <f>solver_typ=2</f>
        <v>#NAME?</v>
      </c>
    </row>
    <row r="21">
      <c r="B21" s="6" t="str">
        <f>solver_val=0</f>
        <v>#NAME?</v>
      </c>
    </row>
  </sheetData>
  <drawing r:id="rId1"/>
</worksheet>
</file>