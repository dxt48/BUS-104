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__OpenSolverCache__" sheetId="2" r:id="rId6"/>
    <sheet state="hidden" name="__OpenSolver__" sheetId="3" r:id="rId7"/>
  </sheets>
  <definedNames/>
  <calcPr/>
</workbook>
</file>

<file path=xl/sharedStrings.xml><?xml version="1.0" encoding="utf-8"?>
<sst xmlns="http://schemas.openxmlformats.org/spreadsheetml/2006/main" count="22" uniqueCount="16">
  <si>
    <t>x1</t>
  </si>
  <si>
    <t>x2</t>
  </si>
  <si>
    <t>x3</t>
  </si>
  <si>
    <t>x4</t>
  </si>
  <si>
    <t>x5</t>
  </si>
  <si>
    <t>x6</t>
  </si>
  <si>
    <t>x7</t>
  </si>
  <si>
    <t>Constraints</t>
  </si>
  <si>
    <t>Mon</t>
  </si>
  <si>
    <t>&gt;=</t>
  </si>
  <si>
    <t>Tue</t>
  </si>
  <si>
    <t>Wed</t>
  </si>
  <si>
    <t>Thur</t>
  </si>
  <si>
    <t>Fri</t>
  </si>
  <si>
    <t>Sat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</si>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</sst>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Arial"/>
    </font>
    <font>
      <b/>
      <sz val="10.0"/>
      <color rgb="FFDD0806"/>
      <name val="Arial"/>
    </font>
    <font>
      <b/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8" width="8.11"/>
    <col customWidth="1" min="9" max="9" width="14.89"/>
    <col customWidth="1" min="10" max="26" width="10.56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ht="15.75" customHeight="1">
      <c r="A3" s="3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"/>
      <c r="J3" s="1"/>
      <c r="K3" s="1"/>
    </row>
    <row r="4" ht="15.75" customHeight="1">
      <c r="A4" s="3"/>
      <c r="B4" s="5">
        <v>3.0</v>
      </c>
      <c r="C4" s="6">
        <v>2.0</v>
      </c>
      <c r="D4" s="5">
        <v>0.0</v>
      </c>
      <c r="E4" s="6">
        <v>4.0</v>
      </c>
      <c r="F4" s="5">
        <v>0.0</v>
      </c>
      <c r="G4" s="6">
        <v>0.0</v>
      </c>
      <c r="H4" s="5">
        <v>0.0</v>
      </c>
      <c r="I4" s="1">
        <f>sum(B4:H4)</f>
        <v>9</v>
      </c>
      <c r="J4" s="1"/>
      <c r="K4" s="1"/>
    </row>
    <row r="5" ht="15.75" customHeight="1">
      <c r="A5" s="8" t="s">
        <v>7</v>
      </c>
      <c r="B5" s="4"/>
      <c r="C5" s="4"/>
      <c r="D5" s="4"/>
      <c r="E5" s="4"/>
      <c r="F5" s="4"/>
      <c r="G5" s="4"/>
      <c r="H5" s="4"/>
      <c r="I5" s="1"/>
      <c r="J5" s="1"/>
      <c r="K5" s="1"/>
    </row>
    <row r="6" ht="15.75" customHeight="1">
      <c r="A6" s="9" t="s">
        <v>8</v>
      </c>
      <c r="B6" s="4">
        <v>1.0</v>
      </c>
      <c r="C6" s="4">
        <v>0.0</v>
      </c>
      <c r="D6" s="4">
        <v>0.0</v>
      </c>
      <c r="E6" s="4">
        <v>1.0</v>
      </c>
      <c r="F6" s="4">
        <v>1.0</v>
      </c>
      <c r="G6" s="4">
        <v>1.0</v>
      </c>
      <c r="H6" s="4">
        <v>1.0</v>
      </c>
      <c r="I6" s="1">
        <f t="shared" ref="I6:I12" si="1">sumproduct($B$4:$H$4,B6:H6)</f>
        <v>7</v>
      </c>
      <c r="J6" s="10" t="s">
        <v>9</v>
      </c>
      <c r="K6" s="10">
        <v>7.0</v>
      </c>
    </row>
    <row r="7" ht="15.75" customHeight="1">
      <c r="A7" s="9" t="s">
        <v>10</v>
      </c>
      <c r="B7" s="4">
        <v>1.0</v>
      </c>
      <c r="C7" s="4">
        <v>1.0</v>
      </c>
      <c r="D7" s="4">
        <v>0.0</v>
      </c>
      <c r="E7" s="4">
        <v>0.0</v>
      </c>
      <c r="F7" s="4">
        <v>1.0</v>
      </c>
      <c r="G7" s="4">
        <v>1.0</v>
      </c>
      <c r="H7" s="4">
        <v>1.0</v>
      </c>
      <c r="I7" s="1">
        <f t="shared" si="1"/>
        <v>5</v>
      </c>
      <c r="J7" s="10" t="s">
        <v>9</v>
      </c>
      <c r="K7" s="10">
        <v>3.0</v>
      </c>
    </row>
    <row r="8" ht="15.75" customHeight="1">
      <c r="A8" s="9" t="s">
        <v>11</v>
      </c>
      <c r="B8" s="4">
        <v>1.0</v>
      </c>
      <c r="C8" s="4">
        <v>1.0</v>
      </c>
      <c r="D8" s="4">
        <v>1.0</v>
      </c>
      <c r="E8" s="4">
        <v>0.0</v>
      </c>
      <c r="F8" s="4">
        <v>0.0</v>
      </c>
      <c r="G8" s="4">
        <v>1.0</v>
      </c>
      <c r="H8" s="4">
        <v>1.0</v>
      </c>
      <c r="I8" s="1">
        <f t="shared" si="1"/>
        <v>5</v>
      </c>
      <c r="J8" s="10" t="s">
        <v>9</v>
      </c>
      <c r="K8" s="10">
        <v>5.0</v>
      </c>
    </row>
    <row r="9" ht="15.75" customHeight="1">
      <c r="A9" s="9" t="s">
        <v>12</v>
      </c>
      <c r="B9" s="4">
        <v>1.0</v>
      </c>
      <c r="C9" s="4">
        <v>1.0</v>
      </c>
      <c r="D9" s="4">
        <v>1.0</v>
      </c>
      <c r="E9" s="4">
        <v>1.0</v>
      </c>
      <c r="F9" s="4">
        <v>0.0</v>
      </c>
      <c r="G9" s="4">
        <v>0.0</v>
      </c>
      <c r="H9" s="4">
        <v>1.0</v>
      </c>
      <c r="I9" s="1">
        <f t="shared" si="1"/>
        <v>9</v>
      </c>
      <c r="J9" s="10" t="s">
        <v>9</v>
      </c>
      <c r="K9" s="10">
        <v>9.0</v>
      </c>
    </row>
    <row r="10" ht="15.75" customHeight="1">
      <c r="A10" s="9" t="s">
        <v>13</v>
      </c>
      <c r="B10" s="4">
        <v>1.0</v>
      </c>
      <c r="C10" s="4">
        <v>1.0</v>
      </c>
      <c r="D10" s="4">
        <v>1.0</v>
      </c>
      <c r="E10" s="4">
        <v>1.0</v>
      </c>
      <c r="F10" s="4">
        <v>1.0</v>
      </c>
      <c r="G10" s="4">
        <v>0.0</v>
      </c>
      <c r="H10" s="4">
        <v>0.0</v>
      </c>
      <c r="I10" s="1">
        <f t="shared" si="1"/>
        <v>9</v>
      </c>
      <c r="J10" s="10" t="s">
        <v>9</v>
      </c>
      <c r="K10" s="10">
        <v>4.0</v>
      </c>
    </row>
    <row r="11" ht="15.75" customHeight="1">
      <c r="A11" s="9" t="s">
        <v>14</v>
      </c>
      <c r="B11" s="4">
        <v>0.0</v>
      </c>
      <c r="C11" s="4">
        <v>1.0</v>
      </c>
      <c r="D11" s="4">
        <v>1.0</v>
      </c>
      <c r="E11" s="4">
        <v>1.0</v>
      </c>
      <c r="F11" s="4">
        <v>1.0</v>
      </c>
      <c r="G11" s="4">
        <v>1.0</v>
      </c>
      <c r="H11" s="4">
        <v>0.0</v>
      </c>
      <c r="I11" s="1">
        <f t="shared" si="1"/>
        <v>6</v>
      </c>
      <c r="J11" s="10" t="s">
        <v>9</v>
      </c>
      <c r="K11" s="10">
        <v>6.0</v>
      </c>
    </row>
    <row r="12" ht="15.75" customHeight="1">
      <c r="A12" s="9" t="s">
        <v>15</v>
      </c>
      <c r="B12" s="4">
        <v>0.0</v>
      </c>
      <c r="C12" s="4">
        <v>0.0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1">
        <f t="shared" si="1"/>
        <v>4</v>
      </c>
      <c r="J12" s="10" t="s">
        <v>9</v>
      </c>
      <c r="K12" s="10">
        <v>1.0</v>
      </c>
    </row>
    <row r="13" ht="15.7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5.7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5.75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.7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.75" customHeight="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.75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" t="str">
        <f>ModelSheet=Sheet1!A:Z</f>
        <v>#NAME?</v>
      </c>
    </row>
    <row r="2">
      <c r="A2" s="7" t="str">
        <f>OpenSolver_AdjNum=1</f>
        <v>#NAME?</v>
      </c>
    </row>
    <row r="3">
      <c r="A3" s="7" t="str">
        <f>OpenSolver_ChosenSolver=Google</f>
        <v>#NAME?</v>
      </c>
    </row>
    <row r="4">
      <c r="A4" s="7" t="str">
        <f>OpenSolver_FastBuild=0</f>
        <v>#NAME?</v>
      </c>
    </row>
    <row r="5">
      <c r="A5" s="7" t="str">
        <f>OpenSolver_LinearityCheck=0</f>
        <v>#NAME?</v>
      </c>
    </row>
    <row r="6">
      <c r="A6" s="7" t="str">
        <f>solver_adj=Sheet1!B4:H4</f>
        <v>#NAME?</v>
      </c>
    </row>
    <row r="7">
      <c r="A7" s="7" t="str">
        <f>solver_lhs1=Sheet1!I6:I12</f>
        <v>#NAME?</v>
      </c>
    </row>
    <row r="8">
      <c r="A8" s="7" t="str">
        <f>solver_neg=1</f>
        <v>#NAME?</v>
      </c>
    </row>
    <row r="9">
      <c r="A9" s="7" t="str">
        <f>solver_num=1</f>
        <v>#NAME?</v>
      </c>
    </row>
    <row r="10">
      <c r="A10" s="7" t="str">
        <f>solver_opt=Sheet1!I4</f>
        <v>#NAME?</v>
      </c>
    </row>
    <row r="11">
      <c r="A11" s="7" t="str">
        <f>solver_rel1=3</f>
        <v>#NAME?</v>
      </c>
    </row>
    <row r="12">
      <c r="A12" s="7" t="str">
        <f>solver_rhs1=Sheet1!K6:K12</f>
        <v>#NAME?</v>
      </c>
    </row>
    <row r="13">
      <c r="A13" s="7" t="str">
        <f>solver_sho=1</f>
        <v>#NAME?</v>
      </c>
    </row>
    <row r="14">
      <c r="A14" s="7" t="str">
        <f>solver_typ=2</f>
        <v>#NAME?</v>
      </c>
    </row>
    <row r="15">
      <c r="A15" s="7" t="str">
        <f>solver_val=0</f>
        <v>#NAME?</v>
      </c>
    </row>
  </sheetData>
  <drawing r:id="rId1"/>
</worksheet>
</file>